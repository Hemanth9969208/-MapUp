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and\Downloads\"/>
    </mc:Choice>
  </mc:AlternateContent>
  <xr:revisionPtr revIDLastSave="0" documentId="13_ncr:1_{7DE4866F-6042-4170-9288-F322310B321F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81029"/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6" i="19"/>
  <c r="C22" i="19"/>
  <c r="C21" i="19"/>
  <c r="C19" i="19"/>
  <c r="C15" i="19"/>
  <c r="C13" i="19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  <c r="G42" i="1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<sst xmlns="http://schemas.openxmlformats.org/spreadsheetml/2006/main" count="406" uniqueCount="183">
  <si>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</si>
  <si>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</si>
  <si>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</si>
  <si>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</si>
  <si>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</si>
  <si>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</si>
  <si>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</si>
  <si>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</si>
  <si>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</si>
  <si>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</si>
  <si>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</si>
  <si>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</si>
  <si>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</si>
  <si>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</si>
  <si>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</si>
  <si>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</si>
  <si>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</si>
  <si>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</si>
  <si>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</si>
  <si>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</si>
  <si>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</si>
  <si>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</si>
  <si>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</si>
  <si>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</si>
  <si>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</si>
  <si>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</si>
  <si>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</si>
  <si>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</si>
  <si>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</si>
  <si>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</si>
  <si>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</si>
  <si>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</si>
  <si>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</si>
  <si>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</si>
  <si>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</si>
  <si>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</si>
  <si>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</si>
  <si>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</si>
  <si>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</si>
  <si>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</si>
  <si>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</si>
  <si>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</si>
  <si>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</si>
  <si>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</si>
  <si>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</si>
  <si>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</si>
  <si>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</si>
  <si>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</si>
  <si>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</si>
  <si>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</si>
  <si>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</si>
  <si>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</si>
  <si>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</si>
  <si>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</si>
  <si>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</si>
  <si>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</si>
  <si>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</si>
  <si>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</si>
  <si>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</si>
  <si>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</si>
  <si>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</si>
  <si>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</si>
  <si>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</si>
  <si>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</si>
  <si>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</si>
  <si>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</si>
  <si>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</si>
  <si>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</si>
  <si>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</si>
  <si>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</si>
  <si>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</si>
  <si>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</si>
  <si>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</si>
  <si>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</si>
  <si>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</si>
  <si>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</si>
  <si>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</si>
  <si>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</si>
  <si>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</si>
  <si>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</si>
  <si>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</si>
  <si>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</si>
  <si>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</si>
  <si>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</si>
  <si>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</si>
  <si>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</si>
  <si>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</si>
  <si>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</si>
  <si>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</si>
  <si>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</si>
  <si>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</si>
  <si>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</si>
  <si>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</si>
  <si>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</si>
  <si>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</si>
  <si>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</si>
  <si>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</si>
  <si>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</si>
  <si>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</si>
  <si>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</si>
  <si>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</si>
  <si>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</si>
  <si>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</si>
  <si>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</si>
  <si>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</si>
  <si>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</si>
  <si>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</si>
  <si>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</si>
  <si>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</si>
  <si>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</si>
  <si>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</si>
  <si>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</si>
  <si>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</si>
  <si>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</si>
  <si>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</si>
  <si>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</si>
  <si>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</si>
  <si>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</si>
  <si>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</si>
  <si>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</si>
  <si>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</si>
  <si>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</si>
  <si>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</si>
  <si>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</si>
  <si>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</si>
  <si>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</si>
  <si>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</si>
  <si>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</si>
  <si>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</si>
  <si>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</si>
  <si>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</si>
  <si>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</si>
  <si>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</si>
  <si>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</si>
  <si>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</si>
  <si>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</si>
  <si>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</si>
  <si>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</si>
  <si>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</si>
  <si>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</si>
  <si>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</si>
  <si>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</si>
  <si>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</si>
  <si>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</si>
  <si>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</si>
  <si>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</si>
  <si>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</si>
  <si>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</si>
  <si>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</si>
  <si>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</si>
  <si>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</si>
  <si>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</si>
  <si>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</si>
  <si>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</si>
  <si>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</si>
  <si>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</si>
  <si>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</si>
  <si>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</si>
  <si>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</si>
  <si>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</si>
  <si>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</si>
  <si>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</si>
  <si>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</si>
  <si>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</si>
  <si>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</si>
  <si>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</si>
  <si>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</si>
  <si>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</si>
  <si>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</si>
  <si>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</si>
  <si>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</si>
  <si>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</si>
  <si>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</si>
  <si>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</si>
  <si>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</si>
  <si>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</si>
  <si>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</si>
  <si>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SELECT &gt;16 TH ROW &gt; CTRL+SHIFT+DOWN ARROW &gt; DATA &gt; TEXT TO COLUMN &gt; DELIMETER &gt;OHER?&gt; "-"&gt; NEXT &gt;FINISH</t>
  </si>
  <si>
    <t>VALUES ARE SEPARATED BY SPACE SO I TEXT TO COLUM OPTION TO SEPARATE BY "-"</t>
  </si>
  <si>
    <t>IFERROR(C2:C11, 20): This part of the formula uses the IFERROR function to replace any #N/A values in the Sales column (C2:C11) with the value '20'.</t>
  </si>
  <si>
    <t>SUM(IFERROR(C2:C11, 20)): This part sums up all the values in the modified Sales column.</t>
  </si>
  <si>
    <t>IFERROR(C2:C11, 20)</t>
  </si>
  <si>
    <t>=INDEX($B$2:$I$10,MATCH([@[name_1]],$A$2:$A$10,0),MATCH([@[name_2]],$A$2:$I$2,0))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</si>
</sst>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8" fillId="0" borderId="3" xfId="0" applyFont="1" applyBorder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A2" activePane="bottomLeft" state="frozen"/>
      <selection pane="bottomLeft" activeCell="G42" sqref="G4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2" spans="1:24" x14ac:dyDescent="0.3">
      <c r="G42" s="1">
        <f>SUMIFS(H2:H40, H2:H40, "&gt;20")</f>
        <v>1473.0000000000002</v>
      </c>
    </row>
  </sheetData>
  <autoFilter ref="A1:X40" xr:uid="{00000000-0001-0000-0000-000000000000}"/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S13">
    <cfRule type="cellIs" dxfId="2" priority="3" operator="equal">
      <formula>-1</formula>
    </cfRule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>
        <f>SUMIFS(Dataset!$H$2:$H$40,Dataset!$H$2:$H$40, "&gt;20")</f>
        <v>1473.0000000000002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164</v>
      </c>
    </row>
    <row r="2" spans="1:7" s="41" customFormat="1" ht="21" x14ac:dyDescent="0.4">
      <c r="B2" s="41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VLOOKUP(A6,Dataset!$A1:$X40,7,FALSE)</f>
        <v>2.7</v>
      </c>
      <c r="C6" s="12">
        <f>VLOOKUP(A6,Dataset!$A$1:$X$40,14,FALSE)</f>
        <v>7.6</v>
      </c>
      <c r="D6" s="12">
        <f>VLOOKUP(A6,Dataset!$A$1:$X$40,18,FALSE)</f>
        <v>4.2</v>
      </c>
      <c r="E6" s="12">
        <f>VLOOKUP(A6,Dataset!$A$1:$X$40,20,FALSE)</f>
        <v>8.9</v>
      </c>
      <c r="F6" s="8">
        <f>VLOOKUP(A6,Dataset!$A$1:$X$40,22,FALSE)</f>
        <v>4.2</v>
      </c>
    </row>
    <row r="7" spans="1:7" ht="14.4" x14ac:dyDescent="0.3">
      <c r="A7" s="7" t="s">
        <v>4</v>
      </c>
      <c r="B7" s="12">
        <f>VLOOKUP(A7,Dataset!$A2:$X41,7,FALSE)</f>
        <v>2.7</v>
      </c>
      <c r="C7" s="12">
        <f>VLOOKUP(A7,Dataset!$A$1:$X$40,14,FALSE)</f>
        <v>7.6</v>
      </c>
      <c r="D7" s="12">
        <f>VLOOKUP(A7,Dataset!$A$1:$X$40,18,FALSE)</f>
        <v>4.2</v>
      </c>
      <c r="E7" s="12">
        <f>VLOOKUP(A7,Dataset!$A$1:$X$40,20,FALSE)</f>
        <v>8.9</v>
      </c>
      <c r="F7" s="8">
        <f>VLOOKUP(A7,Dataset!$A$1:$X$40,22,FALSE)</f>
        <v>4.2</v>
      </c>
    </row>
    <row r="8" spans="1:7" ht="14.4" x14ac:dyDescent="0.3">
      <c r="A8" s="7" t="s">
        <v>7</v>
      </c>
      <c r="B8" s="12">
        <f>VLOOKUP(A8,Dataset!$A3:$X42,7,FALSE)</f>
        <v>3.6</v>
      </c>
      <c r="C8" s="12">
        <f>VLOOKUP(A8,Dataset!$A$1:$X$40,14,FALSE)</f>
        <v>11.1</v>
      </c>
      <c r="D8" s="12">
        <f>VLOOKUP(A8,Dataset!$A$1:$X$40,18,FALSE)</f>
        <v>5.8</v>
      </c>
      <c r="E8" s="12">
        <f>VLOOKUP(A8,Dataset!$A$1:$X$40,20,FALSE)</f>
        <v>12.2</v>
      </c>
      <c r="F8" s="8">
        <f>VLOOKUP(A8,Dataset!$A$1:$X$40,22,FALSE)</f>
        <v>5.8</v>
      </c>
    </row>
    <row r="9" spans="1:7" ht="14.4" x14ac:dyDescent="0.3">
      <c r="A9" s="7" t="s">
        <v>8</v>
      </c>
      <c r="B9" s="12">
        <f>VLOOKUP(A9,Dataset!$A4:$X43,7,FALSE)</f>
        <v>4.9000000000000004</v>
      </c>
      <c r="C9" s="12">
        <f>VLOOKUP(A9,Dataset!$A$1:$X$40,14,FALSE)</f>
        <v>13.3</v>
      </c>
      <c r="D9" s="12">
        <f>VLOOKUP(A9,Dataset!$A$1:$X$40,18,FALSE)</f>
        <v>8.1</v>
      </c>
      <c r="E9" s="12">
        <f>VLOOKUP(A9,Dataset!$A$1:$X$40,20,FALSE)</f>
        <v>17</v>
      </c>
      <c r="F9" s="8">
        <f>VLOOKUP(A9,Dataset!$A$1:$X$40,22,FALSE)</f>
        <v>8.1</v>
      </c>
    </row>
    <row r="10" spans="1:7" ht="14.4" x14ac:dyDescent="0.3">
      <c r="A10" s="7" t="s">
        <v>11</v>
      </c>
      <c r="B10" s="12">
        <f>VLOOKUP(A10,Dataset!$A5:$X44,7,FALSE)</f>
        <v>9.4</v>
      </c>
      <c r="C10" s="12">
        <f>VLOOKUP(A10,Dataset!$A$1:$X$40,14,FALSE)</f>
        <v>28.3</v>
      </c>
      <c r="D10" s="12">
        <f>VLOOKUP(A10,Dataset!$A$1:$X$40,18,FALSE)</f>
        <v>16.100000000000001</v>
      </c>
      <c r="E10" s="12">
        <f>VLOOKUP(A10,Dataset!$A$1:$X$40,20,FALSE)</f>
        <v>32.799999999999997</v>
      </c>
      <c r="F10" s="8">
        <f>VLOOKUP(A10,Dataset!$A$1:$X$40,22,FALSE)</f>
        <v>16.100000000000001</v>
      </c>
    </row>
    <row r="11" spans="1:7" ht="14.4" x14ac:dyDescent="0.3">
      <c r="A11" s="7" t="s">
        <v>12</v>
      </c>
      <c r="B11" s="12">
        <f>VLOOKUP(A11,Dataset!$A6:$X45,7,FALSE)</f>
        <v>11.6</v>
      </c>
      <c r="C11" s="12">
        <f>VLOOKUP(A11,Dataset!$A$1:$X$40,14,FALSE)</f>
        <v>35.200000000000003</v>
      </c>
      <c r="D11" s="12">
        <f>VLOOKUP(A11,Dataset!$A$1:$X$40,18,FALSE)</f>
        <v>21.3</v>
      </c>
      <c r="E11" s="12">
        <f>VLOOKUP(A11,Dataset!$A$1:$X$40,20,FALSE)</f>
        <v>43</v>
      </c>
      <c r="F11" s="8">
        <f>VLOOKUP(A11,Dataset!$A$1:$X$40,22,FALSE)</f>
        <v>21.3</v>
      </c>
    </row>
    <row r="12" spans="1:7" ht="14.4" x14ac:dyDescent="0.3">
      <c r="A12" s="7" t="s">
        <v>14</v>
      </c>
      <c r="B12" s="12">
        <f>VLOOKUP(A12,Dataset!$A7:$X46,7,FALSE)</f>
        <v>18.399999999999999</v>
      </c>
      <c r="C12" s="12">
        <f>VLOOKUP(A12,Dataset!$A$1:$X$40,14,FALSE)</f>
        <v>55.6</v>
      </c>
      <c r="D12" s="12">
        <f>VLOOKUP(A12,Dataset!$A$1:$X$40,18,FALSE)</f>
        <v>33.799999999999997</v>
      </c>
      <c r="E12" s="12">
        <f>VLOOKUP(A12,Dataset!$A$1:$X$40,20,FALSE)</f>
        <v>67.900000000000006</v>
      </c>
      <c r="F12" s="8">
        <f>VLOOKUP(A12,Dataset!$A$1:$X$40,22,FALSE)</f>
        <v>33.799999999999997</v>
      </c>
    </row>
    <row r="13" spans="1:7" ht="14.4" x14ac:dyDescent="0.3">
      <c r="A13" s="7" t="s">
        <v>15</v>
      </c>
      <c r="B13" s="12">
        <f>VLOOKUP(A13,Dataset!$A8:$X47,7,FALSE)</f>
        <v>0</v>
      </c>
      <c r="C13" s="12">
        <f>VLOOKUP(A13,Dataset!$A$1:$X$40,14,FALSE)</f>
        <v>0</v>
      </c>
      <c r="D13" s="12">
        <f>VLOOKUP(A13,Dataset!$A$1:$X$40,18,FALSE)</f>
        <v>0</v>
      </c>
      <c r="E13" s="12">
        <f>VLOOKUP(A13,Dataset!$A$1:$X$40,20,FALSE)</f>
        <v>0</v>
      </c>
      <c r="F13" s="8">
        <f>VLOOKUP(A13,Dataset!$A$1:$X$40,22,FALSE)</f>
        <v>0</v>
      </c>
    </row>
    <row r="14" spans="1:7" ht="14.4" x14ac:dyDescent="0.3">
      <c r="A14" s="7" t="s">
        <v>16</v>
      </c>
      <c r="B14" s="12">
        <f>VLOOKUP(A14,Dataset!$A9:$X48,7,FALSE)</f>
        <v>21.9</v>
      </c>
      <c r="C14" s="12">
        <f>VLOOKUP(A14,Dataset!$A$1:$X$40,14,FALSE)</f>
        <v>61.5</v>
      </c>
      <c r="D14" s="12">
        <f>VLOOKUP(A14,Dataset!$A$1:$X$40,18,FALSE)</f>
        <v>40.1</v>
      </c>
      <c r="E14" s="12">
        <f>VLOOKUP(A14,Dataset!$A$1:$X$40,20,FALSE)</f>
        <v>76.599999999999994</v>
      </c>
      <c r="F14" s="8">
        <f>VLOOKUP(A14,Dataset!$A$1:$X$40,22,FALSE)</f>
        <v>40.1</v>
      </c>
    </row>
    <row r="15" spans="1:7" ht="14.4" x14ac:dyDescent="0.3">
      <c r="A15" s="7" t="s">
        <v>18</v>
      </c>
      <c r="B15" s="12">
        <f>VLOOKUP(A15,Dataset!$A10:$X49,7,FALSE)</f>
        <v>26.8</v>
      </c>
      <c r="C15" s="12">
        <f>VLOOKUP(A15,Dataset!$A$1:$X$40,14,FALSE)</f>
        <v>79.599999999999994</v>
      </c>
      <c r="D15" s="12">
        <f>VLOOKUP(A15,Dataset!$A$1:$X$40,18,FALSE)</f>
        <v>47.9</v>
      </c>
      <c r="E15" s="12">
        <f>VLOOKUP(A15,Dataset!$A$1:$X$40,20,FALSE)</f>
        <v>96.8</v>
      </c>
      <c r="F15" s="8">
        <f>VLOOKUP(A15,Dataset!$A$1:$X$40,22,FALSE)</f>
        <v>47.9</v>
      </c>
    </row>
    <row r="16" spans="1:7" ht="14.4" x14ac:dyDescent="0.3">
      <c r="A16" s="7" t="s">
        <v>20</v>
      </c>
      <c r="B16" s="12">
        <f>VLOOKUP(A16,Dataset!$A11:$X50,7,FALSE)</f>
        <v>28.5</v>
      </c>
      <c r="C16" s="12">
        <f>VLOOKUP(A16,Dataset!$A$1:$X$40,14,FALSE)</f>
        <v>85.4</v>
      </c>
      <c r="D16" s="12">
        <f>VLOOKUP(A16,Dataset!$A$1:$X$40,18,FALSE)</f>
        <v>52.3</v>
      </c>
      <c r="E16" s="12">
        <f>VLOOKUP(A16,Dataset!$A$1:$X$40,20,FALSE)</f>
        <v>106.1</v>
      </c>
      <c r="F16" s="8">
        <f>VLOOKUP(A16,Dataset!$A$1:$X$40,22,FALSE)</f>
        <v>52.3</v>
      </c>
    </row>
    <row r="17" spans="1:6" ht="14.4" x14ac:dyDescent="0.3">
      <c r="A17" s="7" t="s">
        <v>22</v>
      </c>
      <c r="B17" s="12">
        <f>VLOOKUP(A17,Dataset!$A12:$X51,7,FALSE)</f>
        <v>30.7</v>
      </c>
      <c r="C17" s="12">
        <f>VLOOKUP(A17,Dataset!$A$1:$X$40,14,FALSE)</f>
        <v>92.1</v>
      </c>
      <c r="D17" s="12">
        <f>VLOOKUP(A17,Dataset!$A$1:$X$40,18,FALSE)</f>
        <v>57</v>
      </c>
      <c r="E17" s="12">
        <f>VLOOKUP(A17,Dataset!$A$1:$X$40,20,FALSE)</f>
        <v>115.1</v>
      </c>
      <c r="F17" s="8">
        <f>VLOOKUP(A17,Dataset!$A$1:$X$40,22,FALSE)</f>
        <v>57</v>
      </c>
    </row>
    <row r="18" spans="1:6" ht="14.4" x14ac:dyDescent="0.3">
      <c r="A18" s="7" t="s">
        <v>23</v>
      </c>
      <c r="B18" s="12">
        <f>VLOOKUP(A18,Dataset!$A13:$X52,7,FALSE)</f>
        <v>33.799999999999997</v>
      </c>
      <c r="C18" s="12">
        <f>VLOOKUP(A18,Dataset!$A$1:$X$40,14,FALSE)</f>
        <v>101.3</v>
      </c>
      <c r="D18" s="12">
        <f>VLOOKUP(A18,Dataset!$A$1:$X$40,18,FALSE)</f>
        <v>61.4</v>
      </c>
      <c r="E18" s="12">
        <f>VLOOKUP(A18,Dataset!$A$1:$X$40,20,FALSE)</f>
        <v>124.4</v>
      </c>
      <c r="F18" s="8">
        <f>VLOOKUP(A18,Dataset!$A$1:$X$40,22,FALSE)</f>
        <v>61.4</v>
      </c>
    </row>
    <row r="19" spans="1:6" ht="14.4" x14ac:dyDescent="0.3">
      <c r="A19" s="7" t="s">
        <v>24</v>
      </c>
      <c r="B19" s="12">
        <f>VLOOKUP(A19,Dataset!$A14:$X53,7,FALSE)</f>
        <v>34.700000000000003</v>
      </c>
      <c r="C19" s="12">
        <f>VLOOKUP(A19,Dataset!$A$1:$X$40,14,FALSE)</f>
        <v>106.1</v>
      </c>
      <c r="D19" s="12">
        <f>VLOOKUP(A19,Dataset!$A$1:$X$40,18,FALSE)</f>
        <v>63.6</v>
      </c>
      <c r="E19" s="12">
        <f>VLOOKUP(A19,Dataset!$A$1:$X$40,20,FALSE)</f>
        <v>128.6</v>
      </c>
      <c r="F19" s="8">
        <f>VLOOKUP(A19,Dataset!$A$1:$X$40,22,FALSE)</f>
        <v>63.6</v>
      </c>
    </row>
    <row r="20" spans="1:6" ht="14.4" x14ac:dyDescent="0.3">
      <c r="A20" s="7" t="s">
        <v>28</v>
      </c>
      <c r="B20" s="12">
        <f>VLOOKUP(A20,Dataset!$A15:$X54,7,FALSE)</f>
        <v>0</v>
      </c>
      <c r="C20" s="12">
        <f>VLOOKUP(A20,Dataset!$A$1:$X$40,14,FALSE)</f>
        <v>0</v>
      </c>
      <c r="D20" s="12">
        <f>VLOOKUP(A20,Dataset!$A$1:$X$40,18,FALSE)</f>
        <v>0</v>
      </c>
      <c r="E20" s="12">
        <f>VLOOKUP(A20,Dataset!$A$1:$X$40,20,FALSE)</f>
        <v>0</v>
      </c>
      <c r="F20" s="8">
        <f>VLOOKUP(A20,Dataset!$A$1:$X$40,22,FALSE)</f>
        <v>0</v>
      </c>
    </row>
    <row r="21" spans="1:6" ht="14.4" x14ac:dyDescent="0.3">
      <c r="A21" s="7" t="s">
        <v>57</v>
      </c>
      <c r="B21" s="12">
        <f>VLOOKUP(A21,Dataset!$A16:$X55,7,FALSE)</f>
        <v>41.3</v>
      </c>
      <c r="C21" s="12">
        <f>VLOOKUP(A21,Dataset!$A$1:$X$40,14,FALSE)</f>
        <v>124.4</v>
      </c>
      <c r="D21" s="12">
        <f>VLOOKUP(A21,Dataset!$A$1:$X$40,18,FALSE)</f>
        <v>75</v>
      </c>
      <c r="E21" s="12">
        <f>VLOOKUP(A21,Dataset!$A$1:$X$40,20,FALSE)</f>
        <v>151.5</v>
      </c>
      <c r="F21" s="8">
        <f>VLOOKUP(A21,Dataset!$A$1:$X$40,22,FALSE)</f>
        <v>75</v>
      </c>
    </row>
    <row r="22" spans="1:6" ht="14.4" x14ac:dyDescent="0.3">
      <c r="A22" s="7" t="s">
        <v>58</v>
      </c>
      <c r="B22" s="12">
        <f>VLOOKUP(A22,Dataset!$A17:$X56,7,FALSE)</f>
        <v>-1</v>
      </c>
      <c r="C22" s="12">
        <f>VLOOKUP(A22,Dataset!$A$1:$X$40,14,FALSE)</f>
        <v>-1</v>
      </c>
      <c r="D22" s="12">
        <f>VLOOKUP(A22,Dataset!$A$1:$X$40,18,FALSE)</f>
        <v>-1</v>
      </c>
      <c r="E22" s="12">
        <f>VLOOKUP(A22,Dataset!$A$1:$X$40,20,FALSE)</f>
        <v>-1</v>
      </c>
      <c r="F22" s="8">
        <f>VLOOKUP(A22,Dataset!$A$1:$X$40,22,FALSE)</f>
        <v>-1</v>
      </c>
    </row>
    <row r="23" spans="1:6" ht="14.4" x14ac:dyDescent="0.3">
      <c r="A23" s="7" t="s">
        <v>31</v>
      </c>
      <c r="B23" s="12">
        <f>VLOOKUP(A23,Dataset!$A18:$X57,7,FALSE)</f>
        <v>45</v>
      </c>
      <c r="C23" s="12">
        <f>VLOOKUP(A23,Dataset!$A$1:$X$40,14,FALSE)</f>
        <v>133.4</v>
      </c>
      <c r="D23" s="12">
        <f>VLOOKUP(A23,Dataset!$A$1:$X$40,18,FALSE)</f>
        <v>79.400000000000006</v>
      </c>
      <c r="E23" s="12">
        <f>VLOOKUP(A23,Dataset!$A$1:$X$40,20,FALSE)</f>
        <v>160.9</v>
      </c>
      <c r="F23" s="8">
        <f>VLOOKUP(A23,Dataset!$A$1:$X$40,22,FALSE)</f>
        <v>79.400000000000006</v>
      </c>
    </row>
    <row r="24" spans="1:6" ht="14.4" x14ac:dyDescent="0.3">
      <c r="A24" s="7" t="s">
        <v>32</v>
      </c>
      <c r="B24" s="12">
        <f>VLOOKUP(A24,Dataset!$A19:$X58,7,FALSE)</f>
        <v>-1</v>
      </c>
      <c r="C24" s="12">
        <f>VLOOKUP(A24,Dataset!$A$1:$X$40,14,FALSE)</f>
        <v>-1</v>
      </c>
      <c r="D24" s="12">
        <f>VLOOKUP(A24,Dataset!$A$1:$X$40,18,FALSE)</f>
        <v>-1</v>
      </c>
      <c r="E24" s="12">
        <f>VLOOKUP(A24,Dataset!$A$1:$X$40,20,FALSE)</f>
        <v>-1</v>
      </c>
      <c r="F24" s="8">
        <f>VLOOKUP(A24,Dataset!$A$1:$X$40,22,FALSE)</f>
        <v>-1</v>
      </c>
    </row>
    <row r="25" spans="1:6" ht="14.4" x14ac:dyDescent="0.3">
      <c r="A25" s="7" t="s">
        <v>34</v>
      </c>
      <c r="B25" s="12">
        <f>VLOOKUP(A25,Dataset!$A20:$X59,7,FALSE)</f>
        <v>43.3</v>
      </c>
      <c r="C25" s="12">
        <f>VLOOKUP(A25,Dataset!$A$1:$X$40,14,FALSE)</f>
        <v>128.6</v>
      </c>
      <c r="D25" s="12">
        <f>VLOOKUP(A25,Dataset!$A$1:$X$40,18,FALSE)</f>
        <v>79.400000000000006</v>
      </c>
      <c r="E25" s="12">
        <f>VLOOKUP(A25,Dataset!$A$1:$X$40,20,FALSE)</f>
        <v>160.9</v>
      </c>
      <c r="F25" s="8">
        <f>VLOOKUP(A25,Dataset!$A$1:$X$40,22,FALSE)</f>
        <v>79.400000000000006</v>
      </c>
    </row>
    <row r="26" spans="1:6" ht="14.4" x14ac:dyDescent="0.3">
      <c r="A26" s="7" t="s">
        <v>37</v>
      </c>
      <c r="B26" s="12">
        <f>VLOOKUP(A26,Dataset!$A21:$X60,7,FALSE)</f>
        <v>49.1</v>
      </c>
      <c r="C26" s="12">
        <f>VLOOKUP(A26,Dataset!$A$1:$X$40,14,FALSE)</f>
        <v>146.80000000000001</v>
      </c>
      <c r="D26" s="12">
        <f>VLOOKUP(A26,Dataset!$A$1:$X$40,18,FALSE)</f>
        <v>90.9</v>
      </c>
      <c r="E26" s="12">
        <f>VLOOKUP(A26,Dataset!$A$1:$X$40,20,FALSE)</f>
        <v>183.5</v>
      </c>
      <c r="F26" s="8">
        <f>VLOOKUP(A26,Dataset!$A$1:$X$40,22,FALSE)</f>
        <v>90.9</v>
      </c>
    </row>
    <row r="27" spans="1:6" ht="14.4" x14ac:dyDescent="0.3">
      <c r="A27" s="7" t="s">
        <v>39</v>
      </c>
      <c r="B27" s="12">
        <f>VLOOKUP(A27,Dataset!$A22:$X61,7,FALSE)</f>
        <v>51.8</v>
      </c>
      <c r="C27" s="12">
        <f>VLOOKUP(A27,Dataset!$A$1:$X$40,14,FALSE)</f>
        <v>156.4</v>
      </c>
      <c r="D27" s="12">
        <f>VLOOKUP(A27,Dataset!$A$1:$X$40,18,FALSE)</f>
        <v>93.1</v>
      </c>
      <c r="E27" s="12">
        <f>VLOOKUP(A27,Dataset!$A$1:$X$40,20,FALSE)</f>
        <v>188.1</v>
      </c>
      <c r="F27" s="8">
        <f>VLOOKUP(A27,Dataset!$A$1:$X$40,22,FALSE)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5" zoomScaleNormal="100" workbookViewId="0">
      <selection activeCell="B7" sqref="B7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3" t="s">
        <v>53</v>
      </c>
      <c r="B5" s="40" t="s">
        <v>177</v>
      </c>
    </row>
    <row r="6" spans="1:10" ht="18" x14ac:dyDescent="0.35">
      <c r="A6" s="43" t="s">
        <v>153</v>
      </c>
      <c r="B6" s="40" t="s">
        <v>178</v>
      </c>
    </row>
    <row r="7" spans="1:10" ht="18" x14ac:dyDescent="0.35">
      <c r="A7" s="43"/>
      <c r="B7" s="40"/>
    </row>
    <row r="9" spans="1:10" ht="23.4" x14ac:dyDescent="0.45">
      <c r="A9" s="18" t="s">
        <v>165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E9" sqref="E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167</v>
      </c>
    </row>
    <row r="2" spans="1:3" ht="18" x14ac:dyDescent="0.35">
      <c r="B2" s="40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181</v>
      </c>
      <c r="C6" s="2">
        <f>SUM(D12:D15, "20")</f>
        <v>20</v>
      </c>
    </row>
    <row r="7" spans="1:3" ht="14.4" x14ac:dyDescent="0.3">
      <c r="A7" s="3" t="s">
        <v>153</v>
      </c>
      <c r="B7" s="1" t="s">
        <v>179</v>
      </c>
    </row>
    <row r="8" spans="1:3" x14ac:dyDescent="0.3">
      <c r="B8" s="2" t="s">
        <v>180</v>
      </c>
    </row>
    <row r="10" spans="1:3" ht="23.4" x14ac:dyDescent="0.45">
      <c r="A10" s="18" t="s">
        <v>162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f>SUM(IFERROR(C2:C11, 20))</f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f>SUM(IFERROR(C4:C13, 20))</f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154</v>
      </c>
      <c r="C17" s="17">
        <v>150</v>
      </c>
    </row>
    <row r="18" spans="1:3" ht="14.4" x14ac:dyDescent="0.3">
      <c r="A18" s="32">
        <v>44933</v>
      </c>
      <c r="B18" s="17" t="s">
        <v>155</v>
      </c>
      <c r="C18" s="17">
        <v>80</v>
      </c>
    </row>
    <row r="19" spans="1:3" ht="14.4" x14ac:dyDescent="0.3">
      <c r="A19" s="32">
        <v>44934</v>
      </c>
      <c r="B19" s="17" t="s">
        <v>156</v>
      </c>
      <c r="C19" s="17">
        <f>SUM(IFERROR(C8:C17, 20))</f>
        <v>20</v>
      </c>
    </row>
    <row r="20" spans="1:3" ht="14.4" x14ac:dyDescent="0.3">
      <c r="A20" s="32">
        <v>44935</v>
      </c>
      <c r="B20" s="17" t="s">
        <v>157</v>
      </c>
      <c r="C20" s="17">
        <v>30</v>
      </c>
    </row>
    <row r="21" spans="1:3" ht="14.4" x14ac:dyDescent="0.3">
      <c r="A21" s="32">
        <v>44936</v>
      </c>
      <c r="B21" s="17" t="s">
        <v>158</v>
      </c>
      <c r="C21" s="17">
        <f>SUM(IFERROR(C10:C19, 20))</f>
        <v>20</v>
      </c>
    </row>
    <row r="22" spans="1:3" ht="14.4" x14ac:dyDescent="0.3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4"/>
  <sheetViews>
    <sheetView tabSelected="1" topLeftCell="A5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175</v>
      </c>
    </row>
    <row r="3" spans="1:14" ht="14.4" x14ac:dyDescent="0.3">
      <c r="B3" s="1" t="s">
        <v>151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10104</v>
      </c>
      <c r="C23" s="46" t="e">
        <f>INDEX($A$9:$J$18,INDEX(MATCH(A23,M9:N18,0)*2,1))</f>
        <v>#N/A</v>
      </c>
    </row>
    <row r="24" spans="1:14" ht="14.4" x14ac:dyDescent="0.3">
      <c r="A24" s="7">
        <v>10108</v>
      </c>
      <c r="B24" s="12">
        <v>10102</v>
      </c>
      <c r="C24" s="46">
        <f t="shared" ref="C24:C34" si="0">MATCH(A24,M10:M19,0)</f>
        <v>5</v>
      </c>
      <c r="E24" s="2" t="s">
        <v>182</v>
      </c>
    </row>
    <row r="25" spans="1:14" ht="14.4" x14ac:dyDescent="0.3">
      <c r="A25" s="7">
        <v>10100</v>
      </c>
      <c r="B25" s="12">
        <v>10106</v>
      </c>
      <c r="C25" s="46" t="e">
        <f t="shared" si="0"/>
        <v>#N/A</v>
      </c>
    </row>
    <row r="26" spans="1:14" ht="14.4" x14ac:dyDescent="0.3">
      <c r="A26" s="7">
        <v>10108</v>
      </c>
      <c r="B26" s="12">
        <v>10110</v>
      </c>
      <c r="C26" s="46">
        <f t="shared" si="0"/>
        <v>3</v>
      </c>
    </row>
    <row r="27" spans="1:14" ht="14.4" x14ac:dyDescent="0.3">
      <c r="A27" s="7">
        <v>10102</v>
      </c>
      <c r="B27" s="12">
        <v>10104</v>
      </c>
      <c r="C27" s="46" t="e">
        <f t="shared" si="0"/>
        <v>#N/A</v>
      </c>
    </row>
    <row r="28" spans="1:14" ht="14.4" x14ac:dyDescent="0.3">
      <c r="A28" s="7">
        <v>10106</v>
      </c>
      <c r="B28" s="12">
        <v>10108</v>
      </c>
      <c r="C28" s="46" t="e">
        <f t="shared" si="0"/>
        <v>#N/A</v>
      </c>
    </row>
    <row r="29" spans="1:14" ht="14.4" x14ac:dyDescent="0.3">
      <c r="A29" s="7">
        <v>10102</v>
      </c>
      <c r="B29" s="12">
        <v>10106</v>
      </c>
      <c r="C29" s="46" t="e">
        <f t="shared" si="0"/>
        <v>#N/A</v>
      </c>
    </row>
    <row r="30" spans="1:14" ht="14.4" x14ac:dyDescent="0.3">
      <c r="A30" s="7">
        <v>10110</v>
      </c>
      <c r="B30" s="12">
        <v>10114</v>
      </c>
      <c r="C30" s="46" t="e">
        <f t="shared" si="0"/>
        <v>#N/A</v>
      </c>
    </row>
    <row r="31" spans="1:14" ht="14.4" x14ac:dyDescent="0.3">
      <c r="A31" s="7">
        <v>10104</v>
      </c>
      <c r="B31" s="12">
        <v>10106</v>
      </c>
      <c r="C31" s="46" t="e">
        <f t="shared" si="0"/>
        <v>#N/A</v>
      </c>
    </row>
    <row r="32" spans="1:14" ht="14.4" x14ac:dyDescent="0.3">
      <c r="A32" s="7">
        <v>10110</v>
      </c>
      <c r="B32" s="12">
        <v>10112</v>
      </c>
      <c r="C32" s="46" t="e">
        <f t="shared" si="0"/>
        <v>#N/A</v>
      </c>
    </row>
    <row r="33" spans="1:3" ht="14.4" x14ac:dyDescent="0.3">
      <c r="A33" s="7">
        <v>10100</v>
      </c>
      <c r="B33" s="12">
        <v>10114</v>
      </c>
      <c r="C33" s="46" t="e">
        <f t="shared" si="0"/>
        <v>#N/A</v>
      </c>
    </row>
    <row r="34" spans="1:3" ht="14.4" x14ac:dyDescent="0.3">
      <c r="A34" s="9">
        <v>10112</v>
      </c>
      <c r="B34" s="13">
        <v>10116</v>
      </c>
      <c r="C34" s="46" t="e">
        <f t="shared" si="0"/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 Hemanth</cp:lastModifiedBy>
  <dcterms:created xsi:type="dcterms:W3CDTF">2015-02-10T17:33:11Z</dcterms:created>
  <dcterms:modified xsi:type="dcterms:W3CDTF">2023-12-09T11:45:18Z</dcterms:modified>
</cp:coreProperties>
</file>